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DODO_S\Desktop\업무자료\기타\인센파일\"/>
    </mc:Choice>
  </mc:AlternateContent>
  <xr:revisionPtr revIDLastSave="0" documentId="13_ncr:1_{7954FCB5-586C-4C7E-B2A2-2BF092CE0F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인센티브 청구" sheetId="1" r:id="rId1"/>
  </sheets>
  <definedNames>
    <definedName name="_xlnm.Print_Area" localSheetId="0">'인센티브 청구'!$A$1:$L$23</definedName>
  </definedNames>
  <calcPr calcId="191029"/>
</workbook>
</file>

<file path=xl/calcChain.xml><?xml version="1.0" encoding="utf-8"?>
<calcChain xmlns="http://schemas.openxmlformats.org/spreadsheetml/2006/main">
  <c r="A21" i="1" l="1"/>
  <c r="K18" i="1"/>
  <c r="J18" i="1"/>
  <c r="A18" i="1"/>
  <c r="K17" i="1"/>
  <c r="J17" i="1"/>
  <c r="A17" i="1"/>
  <c r="K16" i="1"/>
  <c r="J16" i="1"/>
  <c r="A16" i="1"/>
  <c r="K15" i="1"/>
  <c r="J15" i="1"/>
  <c r="A15" i="1"/>
  <c r="K14" i="1"/>
  <c r="J14" i="1"/>
  <c r="A14" i="1"/>
  <c r="K13" i="1"/>
  <c r="J13" i="1"/>
  <c r="A13" i="1"/>
  <c r="K12" i="1"/>
  <c r="J12" i="1"/>
  <c r="A12" i="1"/>
  <c r="K11" i="1"/>
  <c r="J11" i="1"/>
  <c r="A11" i="1"/>
  <c r="K10" i="1"/>
  <c r="J10" i="1"/>
  <c r="A10" i="1"/>
  <c r="K9" i="1"/>
  <c r="J9" i="1"/>
  <c r="A9" i="1"/>
  <c r="K8" i="1"/>
  <c r="J8" i="1"/>
  <c r="A8" i="1"/>
  <c r="K7" i="1"/>
  <c r="J7" i="1"/>
  <c r="A7" i="1"/>
  <c r="E21" i="1" l="1"/>
  <c r="I21" i="1" s="1"/>
</calcChain>
</file>

<file path=xl/sharedStrings.xml><?xml version="1.0" encoding="utf-8"?>
<sst xmlns="http://schemas.openxmlformats.org/spreadsheetml/2006/main" count="64" uniqueCount="25">
  <si>
    <t>인센티브 청구서</t>
  </si>
  <si>
    <t>청구 연도</t>
  </si>
  <si>
    <t>청구 회차</t>
  </si>
  <si>
    <t>청구 담당자</t>
  </si>
  <si>
    <t>적용 요율</t>
  </si>
  <si>
    <t>순번</t>
  </si>
  <si>
    <t>고객명</t>
  </si>
  <si>
    <t>연락처</t>
  </si>
  <si>
    <t>현장·동호수</t>
  </si>
  <si>
    <t>계약일</t>
  </si>
  <si>
    <t>시공일</t>
  </si>
  <si>
    <t>총 계약금액</t>
  </si>
  <si>
    <t>누적 수납액</t>
  </si>
  <si>
    <t>이번 청구
수납액</t>
  </si>
  <si>
    <t>잔금</t>
  </si>
  <si>
    <t>청구 대상 금액
(부가세 제외)</t>
  </si>
  <si>
    <t>비고</t>
  </si>
  <si>
    <t>이번 청구 수납액 합계</t>
  </si>
  <si>
    <t>청구 대상 합계 (부가세 제외)</t>
  </si>
  <si>
    <t>최종 인센티브 지급 금액</t>
  </si>
  <si>
    <t>홍길동</t>
    <phoneticPr fontId="2" type="noConversion"/>
  </si>
  <si>
    <t>010-0000-0000</t>
    <phoneticPr fontId="2" type="noConversion"/>
  </si>
  <si>
    <t>01월 01일</t>
    <phoneticPr fontId="2" type="noConversion"/>
  </si>
  <si>
    <t>김민찬 책임</t>
  </si>
  <si>
    <t>서울특별시 ○○구 ○○로 000 (○○동, 가나다라마바사 아자차카타파하) ○○○동 ○○○○호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</si>
</sst>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;[Red]\(#,##0\);0"/>
    <numFmt numFmtId="178" formatCode="#,##0&quot;원&quot;"/>
  </numFmts>
  <fonts count="9">
    <font>
      <sz val="11"/>
      <name val="Carlito"/>
    </font>
    <font>
      <sz val="11"/>
      <name val="Carlito"/>
      <family val="2"/>
    </font>
    <font>
      <sz val="8"/>
      <name val="돋움"/>
      <family val="3"/>
    </font>
    <font>
      <sz val="10"/>
      <color rgb="FF292929"/>
      <name val="Noto Sans CJK KR"/>
      <family val="3"/>
    </font>
    <font>
      <b/>
      <sz val="10"/>
      <color rgb="FF292929"/>
      <name val="Noto Sans CJK KR"/>
      <family val="3"/>
    </font>
    <font>
      <b/>
      <sz val="14"/>
      <color rgb="FF292929"/>
      <name val="Noto Sans CJK KR"/>
      <family val="3"/>
    </font>
    <font>
      <b/>
      <sz val="16"/>
      <color rgb="FFA6192E"/>
      <name val="Noto Sans CJK KR"/>
      <family val="3"/>
    </font>
    <font>
      <sz val="10"/>
      <color rgb="FF777777"/>
      <name val="Noto Sans CJK KR"/>
      <family val="3"/>
    </font>
    <font>
      <b/>
      <sz val="14"/>
      <color rgb="FFA6192E"/>
      <name val="Noto Sans CJK KR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3F3F3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A6192E"/>
      </bottom>
      <diagonal/>
    </border>
    <border>
      <left style="thin">
        <color rgb="FFFFFFFF"/>
      </left>
      <right style="thin">
        <color rgb="FFFFFFFF"/>
      </right>
      <top style="thin">
        <color rgb="FF8D8D8D"/>
      </top>
      <bottom style="thin">
        <color rgb="FF8D8D8D"/>
      </bottom>
      <diagonal/>
    </border>
    <border>
      <left style="thin">
        <color rgb="FFFFFFFF"/>
      </left>
      <right style="thin">
        <color rgb="FFE3E3E3"/>
      </right>
      <top style="thin">
        <color rgb="FFFFFFFF"/>
      </top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FFFFFF"/>
      </top>
      <bottom style="thin">
        <color rgb="FFE3E3E3"/>
      </bottom>
      <diagonal/>
    </border>
    <border>
      <left style="thin">
        <color rgb="FFE3E3E3"/>
      </left>
      <right style="thin">
        <color rgb="FFFFFFFF"/>
      </right>
      <top style="thin">
        <color rgb="FFFFFFFF"/>
      </top>
      <bottom style="thin">
        <color rgb="FFE3E3E3"/>
      </bottom>
      <diagonal/>
    </border>
    <border>
      <left style="thin">
        <color rgb="FFFFFFFF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E3E3E3"/>
      </left>
      <right style="thin">
        <color rgb="FFFFFFFF"/>
      </right>
      <top style="thin">
        <color rgb="FFE3E3E3"/>
      </top>
      <bottom style="thin">
        <color rgb="FFE3E3E3"/>
      </bottom>
      <diagonal/>
    </border>
    <border>
      <left style="thin">
        <color rgb="FFFFFFFF"/>
      </left>
      <right style="thin">
        <color rgb="FFE3E3E3"/>
      </right>
      <top style="thin">
        <color rgb="FFE3E3E3"/>
      </top>
      <bottom style="thin">
        <color rgb="FF8D8D8D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8D8D8D"/>
      </bottom>
      <diagonal/>
    </border>
    <border>
      <left style="thin">
        <color rgb="FFE3E3E3"/>
      </left>
      <right style="thin">
        <color rgb="FFFFFFFF"/>
      </right>
      <top style="thin">
        <color rgb="FFE3E3E3"/>
      </top>
      <bottom style="thin">
        <color rgb="FF8D8D8D"/>
      </bottom>
      <diagonal/>
    </border>
    <border>
      <left style="thin">
        <color rgb="FFFFFFFF"/>
      </left>
      <right style="thin">
        <color rgb="FFFFFFFF"/>
      </right>
      <top style="thin">
        <color rgb="FF8D8D8D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vertical="center"/>
    </xf>
    <xf numFmtId="176" fontId="3" fillId="2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177" fontId="3" fillId="2" borderId="5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177" fontId="3" fillId="2" borderId="8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177" fontId="3" fillId="2" borderId="1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vertical="center"/>
    </xf>
    <xf numFmtId="178" fontId="8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4">
    <dxf>
      <border>
        <left style="thin">
          <color rgb="FFDDE3E7"/>
        </left>
      </border>
    </dxf>
    <dxf>
      <numFmt numFmtId="0" formatCode="General"/>
      <border>
        <left style="thin">
          <color rgb="FFDDE3E7"/>
        </left>
      </border>
    </dxf>
    <dxf>
      <numFmt numFmtId="0" formatCode="General"/>
      <border>
        <right style="thin">
          <color rgb="FFDDE3E7"/>
        </right>
      </border>
    </dxf>
    <dxf>
      <border>
        <right style="thin">
          <color rgb="FFDDE3E7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entiveClaims" displayName="IncentiveClaims" ref="A6:L18" totalsRowShown="0">
  <tableColumns count="12">
    <tableColumn id="1" xr3:uid="{00000000-0010-0000-0000-000001000000}" name="순번"/>
    <tableColumn id="2" xr3:uid="{00000000-0010-0000-0000-000002000000}" name="고객명"/>
    <tableColumn id="3" xr3:uid="{00000000-0010-0000-0000-000003000000}" name="연락처"/>
    <tableColumn id="4" xr3:uid="{00000000-0010-0000-0000-000004000000}" name="현장·동호수" dataDxfId="3"/>
    <tableColumn id="5" xr3:uid="{00000000-0010-0000-0000-000005000000}" name="계약일" dataDxfId="2"/>
    <tableColumn id="6" xr3:uid="{00000000-0010-0000-0000-000006000000}" name="시공일" dataDxfId="1"/>
    <tableColumn id="7" xr3:uid="{00000000-0010-0000-0000-000007000000}" name="총 계약금액" dataDxfId="0"/>
    <tableColumn id="8" xr3:uid="{00000000-0010-0000-0000-000008000000}" name="누적 수납액"/>
    <tableColumn id="9" xr3:uid="{00000000-0010-0000-0000-000009000000}" name="이번 청구_x000a_수납액"/>
    <tableColumn id="10" xr3:uid="{00000000-0010-0000-0000-00000A000000}" name="잔금"/>
    <tableColumn id="11" xr3:uid="{00000000-0010-0000-0000-00000B000000}" name="청구 대상 금액_x000a_(부가세 제외)"/>
    <tableColumn id="12" xr3:uid="{00000000-0010-0000-0000-00000C000000}" name="비고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showGridLines="0" tabSelected="1" zoomScale="85" zoomScaleNormal="85" workbookViewId="0">
      <pane ySplit="6" topLeftCell="A7" activePane="bottomLeft" state="frozen"/>
      <selection pane="bottomLeft" activeCell="N22" sqref="N22"/>
    </sheetView>
  </sheetViews>
  <sheetFormatPr defaultRowHeight="15"/>
  <cols>
    <col min="1" max="1" width="6" customWidth="1"/>
    <col min="2" max="2" width="11" customWidth="1"/>
    <col min="3" max="3" width="13.5" customWidth="1"/>
    <col min="4" max="4" width="82.25" customWidth="1"/>
    <col min="5" max="6" width="10" customWidth="1"/>
    <col min="7" max="8" width="11.5" customWidth="1"/>
    <col min="9" max="10" width="15" customWidth="1"/>
    <col min="11" max="12" width="17" customWidth="1"/>
  </cols>
  <sheetData>
    <row r="1" spans="1:12" ht="27" customHeight="1">
      <c r="A1" s="22" t="s">
        <v>0</v>
      </c>
      <c r="B1" s="22" t="s">
        <v>0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  <c r="H1" s="22" t="s">
        <v>0</v>
      </c>
      <c r="I1" s="22" t="s">
        <v>0</v>
      </c>
      <c r="J1" s="22" t="s">
        <v>0</v>
      </c>
      <c r="K1" s="22" t="s">
        <v>0</v>
      </c>
      <c r="L1" s="22" t="s">
        <v>0</v>
      </c>
    </row>
    <row r="2" spans="1:12" ht="27" customHeight="1">
      <c r="A2" s="23" t="s">
        <v>0</v>
      </c>
      <c r="B2" s="23" t="s">
        <v>0</v>
      </c>
      <c r="C2" s="23" t="s">
        <v>0</v>
      </c>
      <c r="D2" s="23" t="s">
        <v>0</v>
      </c>
      <c r="E2" s="23" t="s">
        <v>0</v>
      </c>
      <c r="F2" s="23" t="s">
        <v>0</v>
      </c>
      <c r="G2" s="23" t="s">
        <v>0</v>
      </c>
      <c r="H2" s="23" t="s">
        <v>0</v>
      </c>
      <c r="I2" s="23" t="s">
        <v>0</v>
      </c>
      <c r="J2" s="23" t="s">
        <v>0</v>
      </c>
      <c r="K2" s="23" t="s">
        <v>0</v>
      </c>
      <c r="L2" s="23" t="s">
        <v>0</v>
      </c>
    </row>
    <row r="3" spans="1:12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7" customHeight="1">
      <c r="A4" s="24" t="s">
        <v>1</v>
      </c>
      <c r="B4" s="24" t="s">
        <v>1</v>
      </c>
      <c r="C4" s="28">
        <v>2026</v>
      </c>
      <c r="D4" s="27" t="s">
        <v>2</v>
      </c>
      <c r="E4" s="28">
        <v>10</v>
      </c>
      <c r="F4" s="3" t="s">
        <v>3</v>
      </c>
      <c r="G4" s="25" t="s">
        <v>23</v>
      </c>
      <c r="H4" s="25"/>
      <c r="I4" s="25"/>
      <c r="J4" s="3" t="s">
        <v>4</v>
      </c>
      <c r="K4" s="2">
        <v>1.6E-2</v>
      </c>
      <c r="L4" s="1"/>
    </row>
    <row r="5" spans="1:12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9.950000000000003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</row>
    <row r="7" spans="1:12" ht="33.950000000000003" customHeight="1">
      <c r="A7" s="5">
        <f t="shared" ref="A7:A18" si="0">IF(B7="","",ROW()-6)</f>
        <v>1</v>
      </c>
      <c r="B7" s="6" t="s">
        <v>20</v>
      </c>
      <c r="C7" s="7" t="s">
        <v>21</v>
      </c>
      <c r="D7" s="6" t="s">
        <v>24</v>
      </c>
      <c r="E7" s="6" t="s">
        <v>22</v>
      </c>
      <c r="F7" s="6" t="s">
        <v>22</v>
      </c>
      <c r="G7" s="8">
        <v>10000000</v>
      </c>
      <c r="H7" s="8">
        <v>7000000</v>
      </c>
      <c r="I7" s="8">
        <v>7000000</v>
      </c>
      <c r="J7" s="8">
        <f t="shared" ref="J7:J18" si="1">IF(OR(B7="",G7="",H7=""),"",G7-H7)</f>
        <v>3000000</v>
      </c>
      <c r="K7" s="8">
        <f t="shared" ref="K7:K18" si="2">IF(OR(B7="",I7=""),"",I7/1.1)</f>
        <v>6363636.3636363633</v>
      </c>
      <c r="L7" s="9"/>
    </row>
    <row r="8" spans="1:12" ht="33.950000000000003" customHeight="1">
      <c r="A8" s="10">
        <f t="shared" si="0"/>
        <v>2</v>
      </c>
      <c r="B8" s="6" t="s">
        <v>20</v>
      </c>
      <c r="C8" s="7" t="s">
        <v>21</v>
      </c>
      <c r="D8" s="6" t="s">
        <v>24</v>
      </c>
      <c r="E8" s="6" t="s">
        <v>22</v>
      </c>
      <c r="F8" s="6" t="s">
        <v>22</v>
      </c>
      <c r="G8" s="8">
        <v>10000000</v>
      </c>
      <c r="H8" s="13">
        <v>10000000</v>
      </c>
      <c r="I8" s="13">
        <v>3000000</v>
      </c>
      <c r="J8" s="13">
        <f t="shared" si="1"/>
        <v>0</v>
      </c>
      <c r="K8" s="13">
        <f t="shared" si="2"/>
        <v>2727272.7272727271</v>
      </c>
      <c r="L8" s="14"/>
    </row>
    <row r="9" spans="1:12" ht="33.950000000000003" customHeight="1">
      <c r="A9" s="10" t="str">
        <f t="shared" si="0"/>
        <v/>
      </c>
      <c r="B9" s="11"/>
      <c r="C9" s="12"/>
      <c r="D9" s="11"/>
      <c r="E9" s="11"/>
      <c r="F9" s="11"/>
      <c r="G9" s="13"/>
      <c r="H9" s="13"/>
      <c r="I9" s="13"/>
      <c r="J9" s="13" t="str">
        <f t="shared" si="1"/>
        <v/>
      </c>
      <c r="K9" s="13" t="str">
        <f t="shared" si="2"/>
        <v/>
      </c>
      <c r="L9" s="14"/>
    </row>
    <row r="10" spans="1:12" ht="33.950000000000003" customHeight="1">
      <c r="A10" s="10" t="str">
        <f t="shared" si="0"/>
        <v/>
      </c>
      <c r="B10" s="11"/>
      <c r="C10" s="12"/>
      <c r="D10" s="11"/>
      <c r="E10" s="11"/>
      <c r="F10" s="11"/>
      <c r="G10" s="13"/>
      <c r="H10" s="13"/>
      <c r="I10" s="13"/>
      <c r="J10" s="13" t="str">
        <f t="shared" si="1"/>
        <v/>
      </c>
      <c r="K10" s="13" t="str">
        <f t="shared" si="2"/>
        <v/>
      </c>
      <c r="L10" s="14"/>
    </row>
    <row r="11" spans="1:12" ht="33.950000000000003" customHeight="1">
      <c r="A11" s="10" t="str">
        <f t="shared" si="0"/>
        <v/>
      </c>
      <c r="B11" s="11"/>
      <c r="C11" s="12"/>
      <c r="D11" s="11"/>
      <c r="E11" s="11"/>
      <c r="F11" s="11"/>
      <c r="G11" s="13"/>
      <c r="H11" s="13"/>
      <c r="I11" s="13"/>
      <c r="J11" s="13" t="str">
        <f t="shared" si="1"/>
        <v/>
      </c>
      <c r="K11" s="13" t="str">
        <f t="shared" si="2"/>
        <v/>
      </c>
      <c r="L11" s="14"/>
    </row>
    <row r="12" spans="1:12" ht="33.950000000000003" customHeight="1">
      <c r="A12" s="10" t="str">
        <f t="shared" si="0"/>
        <v/>
      </c>
      <c r="B12" s="11"/>
      <c r="C12" s="12"/>
      <c r="D12" s="11"/>
      <c r="E12" s="11"/>
      <c r="F12" s="11"/>
      <c r="G12" s="13"/>
      <c r="H12" s="13"/>
      <c r="I12" s="13"/>
      <c r="J12" s="13" t="str">
        <f t="shared" si="1"/>
        <v/>
      </c>
      <c r="K12" s="13" t="str">
        <f t="shared" si="2"/>
        <v/>
      </c>
      <c r="L12" s="14"/>
    </row>
    <row r="13" spans="1:12" ht="33.950000000000003" customHeight="1">
      <c r="A13" s="10" t="str">
        <f t="shared" si="0"/>
        <v/>
      </c>
      <c r="B13" s="11"/>
      <c r="C13" s="12"/>
      <c r="D13" s="11"/>
      <c r="E13" s="11"/>
      <c r="F13" s="11"/>
      <c r="G13" s="13"/>
      <c r="H13" s="13"/>
      <c r="I13" s="13"/>
      <c r="J13" s="13" t="str">
        <f t="shared" si="1"/>
        <v/>
      </c>
      <c r="K13" s="13" t="str">
        <f t="shared" si="2"/>
        <v/>
      </c>
      <c r="L13" s="14"/>
    </row>
    <row r="14" spans="1:12" ht="33.950000000000003" customHeight="1">
      <c r="A14" s="10" t="str">
        <f t="shared" si="0"/>
        <v/>
      </c>
      <c r="B14" s="11"/>
      <c r="C14" s="12"/>
      <c r="D14" s="11"/>
      <c r="E14" s="11"/>
      <c r="F14" s="11"/>
      <c r="G14" s="13"/>
      <c r="H14" s="13"/>
      <c r="I14" s="13"/>
      <c r="J14" s="13" t="str">
        <f t="shared" si="1"/>
        <v/>
      </c>
      <c r="K14" s="13" t="str">
        <f t="shared" si="2"/>
        <v/>
      </c>
      <c r="L14" s="14"/>
    </row>
    <row r="15" spans="1:12" ht="33.950000000000003" customHeight="1">
      <c r="A15" s="10" t="str">
        <f t="shared" si="0"/>
        <v/>
      </c>
      <c r="B15" s="11"/>
      <c r="C15" s="12"/>
      <c r="D15" s="11"/>
      <c r="E15" s="11"/>
      <c r="F15" s="11"/>
      <c r="G15" s="13"/>
      <c r="H15" s="13"/>
      <c r="I15" s="13"/>
      <c r="J15" s="13" t="str">
        <f t="shared" si="1"/>
        <v/>
      </c>
      <c r="K15" s="13" t="str">
        <f t="shared" si="2"/>
        <v/>
      </c>
      <c r="L15" s="14"/>
    </row>
    <row r="16" spans="1:12" ht="33.950000000000003" customHeight="1">
      <c r="A16" s="10" t="str">
        <f t="shared" si="0"/>
        <v/>
      </c>
      <c r="B16" s="11"/>
      <c r="C16" s="12"/>
      <c r="D16" s="11"/>
      <c r="E16" s="11"/>
      <c r="F16" s="11"/>
      <c r="G16" s="13"/>
      <c r="H16" s="13"/>
      <c r="I16" s="13"/>
      <c r="J16" s="13" t="str">
        <f t="shared" si="1"/>
        <v/>
      </c>
      <c r="K16" s="13" t="str">
        <f t="shared" si="2"/>
        <v/>
      </c>
      <c r="L16" s="14"/>
    </row>
    <row r="17" spans="1:12" ht="33.950000000000003" customHeight="1">
      <c r="A17" s="10" t="str">
        <f t="shared" si="0"/>
        <v/>
      </c>
      <c r="B17" s="11"/>
      <c r="C17" s="12"/>
      <c r="D17" s="11"/>
      <c r="E17" s="11"/>
      <c r="F17" s="11"/>
      <c r="G17" s="13"/>
      <c r="H17" s="13"/>
      <c r="I17" s="13"/>
      <c r="J17" s="13" t="str">
        <f t="shared" si="1"/>
        <v/>
      </c>
      <c r="K17" s="13" t="str">
        <f t="shared" si="2"/>
        <v/>
      </c>
      <c r="L17" s="14"/>
    </row>
    <row r="18" spans="1:12" ht="33.950000000000003" customHeight="1">
      <c r="A18" s="15" t="str">
        <f t="shared" si="0"/>
        <v/>
      </c>
      <c r="B18" s="16"/>
      <c r="C18" s="17"/>
      <c r="D18" s="16"/>
      <c r="E18" s="16"/>
      <c r="F18" s="16"/>
      <c r="G18" s="18"/>
      <c r="H18" s="18"/>
      <c r="I18" s="18"/>
      <c r="J18" s="18" t="str">
        <f t="shared" si="1"/>
        <v/>
      </c>
      <c r="K18" s="18" t="str">
        <f t="shared" si="2"/>
        <v/>
      </c>
      <c r="L18" s="19"/>
    </row>
    <row r="19" spans="1:12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7" customHeight="1">
      <c r="A20" s="26" t="s">
        <v>17</v>
      </c>
      <c r="B20" s="26" t="s">
        <v>17</v>
      </c>
      <c r="C20" s="26" t="s">
        <v>17</v>
      </c>
      <c r="D20" s="26" t="s">
        <v>17</v>
      </c>
      <c r="E20" s="26" t="s">
        <v>18</v>
      </c>
      <c r="F20" s="26" t="s">
        <v>18</v>
      </c>
      <c r="G20" s="26" t="s">
        <v>18</v>
      </c>
      <c r="H20" s="26" t="s">
        <v>18</v>
      </c>
      <c r="I20" s="26" t="s">
        <v>19</v>
      </c>
      <c r="J20" s="26" t="s">
        <v>19</v>
      </c>
      <c r="K20" s="26" t="s">
        <v>19</v>
      </c>
      <c r="L20" s="26" t="s">
        <v>19</v>
      </c>
    </row>
    <row r="21" spans="1:12" ht="27" customHeight="1">
      <c r="A21" s="20">
        <f>SUM(IncentiveClaims[이번 청구
수납액])</f>
        <v>10000000</v>
      </c>
      <c r="B21" s="20"/>
      <c r="C21" s="20"/>
      <c r="D21" s="20"/>
      <c r="E21" s="20">
        <f>SUM(IncentiveClaims[청구 대상 금액
(부가세 제외)])</f>
        <v>9090909.0909090899</v>
      </c>
      <c r="F21" s="20"/>
      <c r="G21" s="20"/>
      <c r="H21" s="20"/>
      <c r="I21" s="21">
        <f>IF(K4="","",ROUND(E21*K4,0))</f>
        <v>145455</v>
      </c>
      <c r="J21" s="21"/>
      <c r="K21" s="21"/>
      <c r="L21" s="21"/>
    </row>
    <row r="22" spans="1:12" ht="27" customHeight="1">
      <c r="A22" s="20"/>
      <c r="B22" s="20"/>
      <c r="C22" s="20"/>
      <c r="D22" s="20"/>
      <c r="E22" s="20"/>
      <c r="F22" s="20"/>
      <c r="G22" s="20"/>
      <c r="H22" s="20"/>
      <c r="I22" s="21"/>
      <c r="J22" s="21"/>
      <c r="K22" s="21"/>
      <c r="L22" s="21"/>
    </row>
    <row r="23" spans="1:12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9">
    <mergeCell ref="A21:D22"/>
    <mergeCell ref="E21:H22"/>
    <mergeCell ref="I21:L22"/>
    <mergeCell ref="A1:L2"/>
    <mergeCell ref="A4:B4"/>
    <mergeCell ref="G4:I4"/>
    <mergeCell ref="A20:D20"/>
    <mergeCell ref="E20:H20"/>
    <mergeCell ref="I20:L20"/>
  </mergeCells>
  <phoneticPr fontId="2" type="noConversion"/>
  <dataValidations count="1">
    <dataValidation type="list" sqref="G4:I4" xr:uid="{00000000-0002-0000-0000-000000000000}">
      <formula1>"한동균 팀장,김민찬 책임,김영찬 책임"</formula1>
    </dataValidation>
  </dataValidations>
  <pageMargins left="0.25" right="0.25" top="0.3" bottom="0.3" header="0.1" footer="0.1"/>
  <pageSetup paperSize="9" scale="64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인센티브 청구</vt:lpstr>
      <vt:lpstr>'인센티브 청구'!Print_Area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DODO_S</dc:creator>
  <cp:lastModifiedBy>DODO_S</cp:lastModifiedBy>
  <cp:lastPrinted>2026-10-15T08:12:50Z</cp:lastPrinted>
  <dcterms:created xsi:type="dcterms:W3CDTF">2026-10-15T07:38:48Z</dcterms:created>
  <dcterms:modified xsi:type="dcterms:W3CDTF">2026-10-15T08:17:50Z</dcterms:modified>
</cp:coreProperties>
</file>